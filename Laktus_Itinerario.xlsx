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ta\Documents\Códigos_Programação\Laktus_Itinerario\"/>
    </mc:Choice>
  </mc:AlternateContent>
  <xr:revisionPtr revIDLastSave="0" documentId="13_ncr:1_{856B3548-A090-44FD-A692-76D2992AF729}" xr6:coauthVersionLast="47" xr6:coauthVersionMax="47" xr10:uidLastSave="{00000000-0000-0000-0000-000000000000}"/>
  <bookViews>
    <workbookView xWindow="0" yWindow="3435" windowWidth="21600" windowHeight="10590" activeTab="3" xr2:uid="{00000000-000D-0000-FFFF-FFFF00000000}"/>
  </bookViews>
  <sheets>
    <sheet name="Funcionarios" sheetId="1" r:id="rId1"/>
    <sheet name="Clientes" sheetId="2" r:id="rId2"/>
    <sheet name="Horarios_Clientes" sheetId="3" r:id="rId3"/>
    <sheet name="Pedidos" sheetId="4" r:id="rId4"/>
  </sheets>
  <definedNames>
    <definedName name="NomesClientes">'Clientes'!$B:$B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4" l="1"/>
  <c r="J5" i="4"/>
  <c r="J4" i="4"/>
  <c r="A4" i="4"/>
  <c r="A5" i="4" s="1"/>
  <c r="A6" i="4" s="1"/>
  <c r="J3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3" i="1"/>
  <c r="A4" i="1" s="1"/>
</calcChain>
</file>

<file path=xl/sharedStrings.xml><?xml version="1.0" encoding="utf-8"?>
<sst xmlns="http://schemas.openxmlformats.org/spreadsheetml/2006/main" count="107" uniqueCount="63">
  <si>
    <t>id</t>
  </si>
  <si>
    <t>nome</t>
  </si>
  <si>
    <t>Jeovane</t>
  </si>
  <si>
    <t>Jhonatan</t>
  </si>
  <si>
    <t>Homero</t>
  </si>
  <si>
    <t>Bruno</t>
  </si>
  <si>
    <t>Leandro</t>
  </si>
  <si>
    <t>cnpj</t>
  </si>
  <si>
    <t>cep</t>
  </si>
  <si>
    <t>endereço</t>
  </si>
  <si>
    <t>numero_endereco</t>
  </si>
  <si>
    <t>Nippon Chemical</t>
  </si>
  <si>
    <t>00.000.000/00001-00</t>
  </si>
  <si>
    <t>13347-404</t>
  </si>
  <si>
    <t>R. Antonio Martins Luiz</t>
  </si>
  <si>
    <t>MRE Mapp Odontologia Indaiatuba</t>
  </si>
  <si>
    <t>00.000.000/00001-02</t>
  </si>
  <si>
    <t>13330-070</t>
  </si>
  <si>
    <t>R. Quinze de Novembro</t>
  </si>
  <si>
    <t>Keepers II Clube Indaiatuba</t>
  </si>
  <si>
    <t>00.000.000/00001-03</t>
  </si>
  <si>
    <t>13331-742</t>
  </si>
  <si>
    <t>Av. Fábio Ferraz Bicudo,</t>
  </si>
  <si>
    <t>JNC Hortolândia</t>
  </si>
  <si>
    <t>05.265.205/0001-12</t>
  </si>
  <si>
    <t>13184-889</t>
  </si>
  <si>
    <t>Avenida Carlos Roberto Prataviera</t>
  </si>
  <si>
    <t>Ecosssitema MKT Rio Claro</t>
  </si>
  <si>
    <t xml:space="preserve">50.250.454/0001-99 </t>
  </si>
  <si>
    <t>13501-080</t>
  </si>
  <si>
    <t>Rua 7 Cj</t>
  </si>
  <si>
    <t xml:space="preserve">Tamandare Tintas </t>
  </si>
  <si>
    <t>00.000.000/00001-04</t>
  </si>
  <si>
    <t>13338-010</t>
  </si>
  <si>
    <t>Avenida Visconde de Indaituba</t>
  </si>
  <si>
    <t>id_cliente</t>
  </si>
  <si>
    <t>dia_semana</t>
  </si>
  <si>
    <t>hora_entrada</t>
  </si>
  <si>
    <t>hora_saida</t>
  </si>
  <si>
    <t>Segunda</t>
  </si>
  <si>
    <t>Terça</t>
  </si>
  <si>
    <t>Quarta</t>
  </si>
  <si>
    <t>Quinta</t>
  </si>
  <si>
    <t>Sexta</t>
  </si>
  <si>
    <t>cliente</t>
  </si>
  <si>
    <t>tipo_servico</t>
  </si>
  <si>
    <t>data_trabalho</t>
  </si>
  <si>
    <t>prioridade</t>
  </si>
  <si>
    <t>status</t>
  </si>
  <si>
    <t>descricao</t>
  </si>
  <si>
    <t>fl_retirada</t>
  </si>
  <si>
    <t>tipo_retirada</t>
  </si>
  <si>
    <t>funcionario</t>
  </si>
  <si>
    <t>hora_preferencial</t>
  </si>
  <si>
    <t>tempo_estimado_servico</t>
  </si>
  <si>
    <t>NF</t>
  </si>
  <si>
    <t>Canhoto</t>
  </si>
  <si>
    <t>Entrega</t>
  </si>
  <si>
    <t>A FAZER</t>
  </si>
  <si>
    <t>Levar 3 cafés</t>
  </si>
  <si>
    <t>NÃO</t>
  </si>
  <si>
    <t>Manutenção</t>
  </si>
  <si>
    <t>Arrumar 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</si>
</sst>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0" fillId="0" borderId="0" xfId="0" applyNumberFormat="1"/>
    <xf numFmtId="1" fontId="1" fillId="0" borderId="1" xfId="0" applyNumberFormat="1" applyFont="1" applyBorder="1"/>
    <xf numFmtId="1" fontId="1" fillId="0" borderId="2" xfId="0" applyNumberFormat="1" applyFont="1" applyBorder="1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49" fontId="2" fillId="0" borderId="0" xfId="0" applyNumberFormat="1" applyFont="1"/>
    <xf numFmtId="164" fontId="0" fillId="0" borderId="0" xfId="0" applyNumberFormat="1"/>
    <xf numFmtId="20" fontId="0" fillId="0" borderId="0" xfId="0" applyNumberFormat="1"/>
    <xf numFmtId="0" fontId="0" fillId="0" borderId="0" xfId="0"/>
  </cellXfs>
  <cellStyles count="1">
    <cellStyle name="Normal" xfId="0" builtinId="0"/>
  </cellStyles>
  <dxfs count="12">
    <dxf>
      <numFmt numFmtId="164" formatCode="yyyy\-mm\-dd;@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1" formatCode="0"/>
    </dxf>
    <dxf>
      <numFmt numFmtId="0" formatCode="General"/>
      <alignment horizontal="right" vertical="bottom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ionarios" displayName="Funcionarios" ref="A1:B6" totalsRowShown="0">
  <autoFilter ref="A1:B6" xr:uid="{00000000-0009-0000-0100-000001000000}"/>
  <tableColumns count="2">
    <tableColumn id="1" xr3:uid="{00000000-0010-0000-0000-000001000000}" name="id"/>
    <tableColumn id="2" xr3:uid="{00000000-0010-0000-0000-000002000000}" name="no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es" displayName="Clientes" ref="A1:F7" totalsRowShown="0">
  <autoFilter ref="A1:F7" xr:uid="{00000000-0009-0000-0100-000002000000}"/>
  <tableColumns count="6">
    <tableColumn id="1" xr3:uid="{00000000-0010-0000-0100-000001000000}" name="id" dataDxfId="11" totalsRowDxfId="10"/>
    <tableColumn id="2" xr3:uid="{00000000-0010-0000-0100-000002000000}" name="nome" totalsRowDxfId="9"/>
    <tableColumn id="3" xr3:uid="{00000000-0010-0000-0100-000003000000}" name="cnpj"/>
    <tableColumn id="4" xr3:uid="{00000000-0010-0000-0100-000004000000}" name="cep"/>
    <tableColumn id="5" xr3:uid="{00000000-0010-0000-0100-000005000000}" name="endereço" totalsRowDxfId="8"/>
    <tableColumn id="6" xr3:uid="{00000000-0010-0000-0100-000006000000}" name="numero_endereco" dataDxfId="7" totalsRow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orarios_Cliente" displayName="Horarios_Cliente" ref="A1:E26" totalsRowShown="0">
  <autoFilter ref="A1:E26" xr:uid="{00000000-0009-0000-0100-000003000000}"/>
  <tableColumns count="5">
    <tableColumn id="1" xr3:uid="{00000000-0010-0000-0200-000001000000}" name="id" dataDxfId="5"/>
    <tableColumn id="2" xr3:uid="{00000000-0010-0000-0200-000002000000}" name="id_cliente" dataDxfId="4"/>
    <tableColumn id="3" xr3:uid="{00000000-0010-0000-0200-000003000000}" name="dia_semana" dataDxfId="3"/>
    <tableColumn id="4" xr3:uid="{00000000-0010-0000-0200-000004000000}" name="hora_entrada" dataDxfId="2"/>
    <tableColumn id="5" xr3:uid="{00000000-0010-0000-0200-000005000000}" name="hora_saida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didos" displayName="Pedidos" ref="A1:N6" totalsRowShown="0">
  <autoFilter ref="A1:N6" xr:uid="{00000000-0009-0000-0100-000004000000}"/>
  <tableColumns count="14">
    <tableColumn id="1" xr3:uid="{00000000-0010-0000-0300-000001000000}" name="id"/>
    <tableColumn id="2" xr3:uid="{00000000-0010-0000-0300-000002000000}" name="cliente"/>
    <tableColumn id="3" xr3:uid="{00000000-0010-0000-0300-000003000000}" name="tipo_servico"/>
    <tableColumn id="4" xr3:uid="{00000000-0010-0000-0300-000004000000}" name="data_trabalho" dataDxfId="0"/>
    <tableColumn id="5" xr3:uid="{00000000-0010-0000-0300-000005000000}" name="prioridade"/>
    <tableColumn id="7" xr3:uid="{00000000-0010-0000-0300-000007000000}" name="status"/>
    <tableColumn id="8" xr3:uid="{00000000-0010-0000-0300-000008000000}" name="descricao"/>
    <tableColumn id="9" xr3:uid="{00000000-0010-0000-0300-000009000000}" name="fl_retirada"/>
    <tableColumn id="13" xr3:uid="{00000000-0010-0000-0300-00000D000000}" name="tipo_retirada"/>
    <tableColumn id="10" xr3:uid="{00000000-0010-0000-0300-00000A000000}" name="funcionario"/>
    <tableColumn id="11" xr3:uid="{00000000-0010-0000-0300-00000B000000}" name="hora_preferencial"/>
    <tableColumn id="12" xr3:uid="{00000000-0010-0000-0300-00000C000000}" name="tempo_estimado_servico"/>
    <tableColumn id="15" xr3:uid="{00000000-0010-0000-0300-00000F000000}" name="NF"/>
    <tableColumn id="16" xr3:uid="{00000000-0010-0000-0300-000010000000}" name="Canho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U21" sqref="U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f>A2+1</f>
        <v>2</v>
      </c>
      <c r="B3" t="s">
        <v>3</v>
      </c>
    </row>
    <row r="4" spans="1:2" x14ac:dyDescent="0.25">
      <c r="A4">
        <f>A3+1</f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E8" sqref="E8"/>
    </sheetView>
  </sheetViews>
  <sheetFormatPr defaultRowHeight="15" x14ac:dyDescent="0.25"/>
  <cols>
    <col min="1" max="1" width="9.140625" style="2" customWidth="1"/>
    <col min="2" max="2" width="32.42578125" style="5" bestFit="1" customWidth="1"/>
    <col min="3" max="3" width="18.85546875" style="11" bestFit="1" customWidth="1"/>
    <col min="4" max="4" width="12.28515625" style="11" customWidth="1"/>
    <col min="5" max="5" width="30.140625" style="5" customWidth="1"/>
    <col min="6" max="6" width="19" style="11" customWidth="1"/>
  </cols>
  <sheetData>
    <row r="1" spans="1:17" x14ac:dyDescent="0.25">
      <c r="A1" s="2" t="s">
        <v>0</v>
      </c>
      <c r="B1" s="5" t="s">
        <v>1</v>
      </c>
      <c r="C1" t="s">
        <v>7</v>
      </c>
      <c r="D1" t="s">
        <v>8</v>
      </c>
      <c r="E1" s="5" t="s">
        <v>9</v>
      </c>
      <c r="F1" t="s">
        <v>10</v>
      </c>
    </row>
    <row r="2" spans="1:17" x14ac:dyDescent="0.25">
      <c r="A2" s="2">
        <v>1</v>
      </c>
      <c r="B2" s="5" t="s">
        <v>11</v>
      </c>
      <c r="C2" t="s">
        <v>12</v>
      </c>
      <c r="D2" t="s">
        <v>13</v>
      </c>
      <c r="E2" s="5" t="s">
        <v>14</v>
      </c>
      <c r="F2">
        <v>822</v>
      </c>
      <c r="L2" s="3"/>
      <c r="M2" s="6"/>
      <c r="N2" s="1"/>
      <c r="O2" s="1"/>
      <c r="P2" s="6"/>
      <c r="Q2" s="7"/>
    </row>
    <row r="3" spans="1:17" x14ac:dyDescent="0.25">
      <c r="A3" s="4">
        <v>2</v>
      </c>
      <c r="B3" s="5" t="s">
        <v>15</v>
      </c>
      <c r="C3" t="s">
        <v>16</v>
      </c>
      <c r="D3" t="s">
        <v>17</v>
      </c>
      <c r="E3" s="5" t="s">
        <v>18</v>
      </c>
      <c r="F3">
        <v>1131</v>
      </c>
    </row>
    <row r="4" spans="1:17" x14ac:dyDescent="0.25">
      <c r="A4" s="2">
        <v>3</v>
      </c>
      <c r="B4" s="8" t="s">
        <v>19</v>
      </c>
      <c r="C4" t="s">
        <v>20</v>
      </c>
      <c r="D4" t="s">
        <v>21</v>
      </c>
      <c r="E4" s="5" t="s">
        <v>22</v>
      </c>
      <c r="F4">
        <v>1197</v>
      </c>
    </row>
    <row r="5" spans="1:17" x14ac:dyDescent="0.25">
      <c r="A5" s="2">
        <v>4</v>
      </c>
      <c r="B5" s="5" t="s">
        <v>23</v>
      </c>
      <c r="C5" t="s">
        <v>24</v>
      </c>
      <c r="D5" t="s">
        <v>25</v>
      </c>
      <c r="E5" s="5" t="s">
        <v>26</v>
      </c>
      <c r="F5">
        <v>45</v>
      </c>
    </row>
    <row r="6" spans="1:17" x14ac:dyDescent="0.25">
      <c r="A6" s="2">
        <v>5</v>
      </c>
      <c r="B6" s="5" t="s">
        <v>27</v>
      </c>
      <c r="C6" t="s">
        <v>28</v>
      </c>
      <c r="D6" t="s">
        <v>29</v>
      </c>
      <c r="E6" s="5" t="s">
        <v>30</v>
      </c>
      <c r="F6">
        <v>177</v>
      </c>
    </row>
    <row r="7" spans="1:17" x14ac:dyDescent="0.25">
      <c r="A7" s="2">
        <v>6</v>
      </c>
      <c r="B7" s="5" t="s">
        <v>31</v>
      </c>
      <c r="C7" t="s">
        <v>32</v>
      </c>
      <c r="D7" t="s">
        <v>33</v>
      </c>
      <c r="E7" s="5" t="s">
        <v>34</v>
      </c>
      <c r="F7">
        <v>441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L24" sqref="L24"/>
    </sheetView>
  </sheetViews>
  <sheetFormatPr defaultRowHeight="15" x14ac:dyDescent="0.25"/>
  <cols>
    <col min="1" max="1" width="4.85546875" style="2" customWidth="1"/>
    <col min="2" max="2" width="11.5703125" style="2" customWidth="1"/>
    <col min="3" max="3" width="15.140625" style="5" customWidth="1"/>
    <col min="4" max="4" width="15" style="11" customWidth="1"/>
    <col min="5" max="5" width="13.140625" style="11" customWidth="1"/>
  </cols>
  <sheetData>
    <row r="1" spans="1:5" x14ac:dyDescent="0.25">
      <c r="A1" s="2" t="s">
        <v>0</v>
      </c>
      <c r="B1" s="2" t="s">
        <v>35</v>
      </c>
      <c r="C1" s="5" t="s">
        <v>36</v>
      </c>
      <c r="D1" t="s">
        <v>37</v>
      </c>
      <c r="E1" t="s">
        <v>38</v>
      </c>
    </row>
    <row r="2" spans="1:5" x14ac:dyDescent="0.25">
      <c r="A2" s="2">
        <v>1</v>
      </c>
      <c r="B2" s="2">
        <v>1</v>
      </c>
      <c r="C2" s="5" t="s">
        <v>39</v>
      </c>
      <c r="D2" s="10">
        <v>0.29166666666666669</v>
      </c>
      <c r="E2" s="10">
        <v>0.70833333333333337</v>
      </c>
    </row>
    <row r="3" spans="1:5" x14ac:dyDescent="0.25">
      <c r="A3" s="2">
        <f t="shared" ref="A3:A26" si="0">A2+1</f>
        <v>2</v>
      </c>
      <c r="B3" s="2">
        <v>1</v>
      </c>
      <c r="C3" s="5" t="s">
        <v>40</v>
      </c>
      <c r="D3" s="10">
        <v>0.29166666666666669</v>
      </c>
      <c r="E3" s="10">
        <v>0.70833333333333337</v>
      </c>
    </row>
    <row r="4" spans="1:5" x14ac:dyDescent="0.25">
      <c r="A4" s="2">
        <f t="shared" si="0"/>
        <v>3</v>
      </c>
      <c r="B4" s="2">
        <v>1</v>
      </c>
      <c r="C4" s="5" t="s">
        <v>41</v>
      </c>
      <c r="D4" s="10">
        <v>0.29166666666666669</v>
      </c>
      <c r="E4" s="10">
        <v>0.70833333333333337</v>
      </c>
    </row>
    <row r="5" spans="1:5" x14ac:dyDescent="0.25">
      <c r="A5" s="2">
        <f t="shared" si="0"/>
        <v>4</v>
      </c>
      <c r="B5" s="2">
        <v>1</v>
      </c>
      <c r="C5" s="5" t="s">
        <v>42</v>
      </c>
      <c r="D5" s="10">
        <v>0.29166666666666669</v>
      </c>
      <c r="E5" s="10">
        <v>0.70833333333333337</v>
      </c>
    </row>
    <row r="6" spans="1:5" x14ac:dyDescent="0.25">
      <c r="A6" s="2">
        <f t="shared" si="0"/>
        <v>5</v>
      </c>
      <c r="B6" s="2">
        <v>1</v>
      </c>
      <c r="C6" s="5" t="s">
        <v>43</v>
      </c>
      <c r="D6" s="10">
        <v>0.29166666666666669</v>
      </c>
      <c r="E6" s="10">
        <v>0.70833333333333337</v>
      </c>
    </row>
    <row r="7" spans="1:5" x14ac:dyDescent="0.25">
      <c r="A7" s="2">
        <f t="shared" si="0"/>
        <v>6</v>
      </c>
      <c r="B7" s="2">
        <v>2</v>
      </c>
      <c r="C7" s="5" t="s">
        <v>39</v>
      </c>
      <c r="D7" s="10">
        <v>0.375</v>
      </c>
      <c r="E7" s="10">
        <v>0.79166666666666663</v>
      </c>
    </row>
    <row r="8" spans="1:5" x14ac:dyDescent="0.25">
      <c r="A8" s="2">
        <f t="shared" si="0"/>
        <v>7</v>
      </c>
      <c r="B8" s="2">
        <v>2</v>
      </c>
      <c r="C8" s="5" t="s">
        <v>40</v>
      </c>
      <c r="D8" s="10">
        <v>0.375</v>
      </c>
      <c r="E8" s="10">
        <v>0.79166666666666663</v>
      </c>
    </row>
    <row r="9" spans="1:5" x14ac:dyDescent="0.25">
      <c r="A9" s="2">
        <f t="shared" si="0"/>
        <v>8</v>
      </c>
      <c r="B9" s="2">
        <v>2</v>
      </c>
      <c r="C9" s="5" t="s">
        <v>41</v>
      </c>
      <c r="D9" s="10">
        <v>0.375</v>
      </c>
      <c r="E9" s="10">
        <v>0.79166666666666663</v>
      </c>
    </row>
    <row r="10" spans="1:5" x14ac:dyDescent="0.25">
      <c r="A10" s="2">
        <f t="shared" si="0"/>
        <v>9</v>
      </c>
      <c r="B10" s="2">
        <v>2</v>
      </c>
      <c r="C10" s="5" t="s">
        <v>42</v>
      </c>
      <c r="D10" s="10">
        <v>0.375</v>
      </c>
      <c r="E10" s="10">
        <v>0.79166666666666663</v>
      </c>
    </row>
    <row r="11" spans="1:5" x14ac:dyDescent="0.25">
      <c r="A11" s="2">
        <f t="shared" si="0"/>
        <v>10</v>
      </c>
      <c r="B11" s="2">
        <v>2</v>
      </c>
      <c r="C11" s="5" t="s">
        <v>43</v>
      </c>
      <c r="D11" s="10">
        <v>0.375</v>
      </c>
      <c r="E11" s="10">
        <v>0.79166666666666663</v>
      </c>
    </row>
    <row r="12" spans="1:5" x14ac:dyDescent="0.25">
      <c r="A12" s="2">
        <f t="shared" si="0"/>
        <v>11</v>
      </c>
      <c r="B12" s="2">
        <v>3</v>
      </c>
      <c r="C12" s="5" t="s">
        <v>39</v>
      </c>
      <c r="D12" s="10">
        <v>0.58333333333333337</v>
      </c>
      <c r="E12" s="10">
        <v>0.79166666666666663</v>
      </c>
    </row>
    <row r="13" spans="1:5" x14ac:dyDescent="0.25">
      <c r="A13" s="2">
        <f t="shared" si="0"/>
        <v>12</v>
      </c>
      <c r="B13" s="2">
        <v>3</v>
      </c>
      <c r="C13" s="5" t="s">
        <v>40</v>
      </c>
      <c r="D13" s="10">
        <v>0.58333333333333337</v>
      </c>
      <c r="E13" s="10">
        <v>0.79166666666666663</v>
      </c>
    </row>
    <row r="14" spans="1:5" x14ac:dyDescent="0.25">
      <c r="A14" s="2">
        <f t="shared" si="0"/>
        <v>13</v>
      </c>
      <c r="B14" s="2">
        <v>3</v>
      </c>
      <c r="C14" s="5" t="s">
        <v>41</v>
      </c>
      <c r="D14" s="10">
        <v>0.58333333333333337</v>
      </c>
      <c r="E14" s="10">
        <v>0.79166666666666663</v>
      </c>
    </row>
    <row r="15" spans="1:5" x14ac:dyDescent="0.25">
      <c r="A15" s="2">
        <f t="shared" si="0"/>
        <v>14</v>
      </c>
      <c r="B15" s="2">
        <v>3</v>
      </c>
      <c r="C15" s="5" t="s">
        <v>42</v>
      </c>
      <c r="D15" s="10">
        <v>0.58333333333333337</v>
      </c>
      <c r="E15" s="10">
        <v>0.79166666666666663</v>
      </c>
    </row>
    <row r="16" spans="1:5" x14ac:dyDescent="0.25">
      <c r="A16" s="2">
        <f t="shared" si="0"/>
        <v>15</v>
      </c>
      <c r="B16" s="2">
        <v>3</v>
      </c>
      <c r="C16" s="5" t="s">
        <v>43</v>
      </c>
      <c r="D16" s="10">
        <v>0.58333333333333337</v>
      </c>
      <c r="E16" s="10">
        <v>0.79166666666666663</v>
      </c>
    </row>
    <row r="17" spans="1:5" x14ac:dyDescent="0.25">
      <c r="A17" s="2">
        <f t="shared" si="0"/>
        <v>16</v>
      </c>
      <c r="B17" s="2">
        <v>4</v>
      </c>
      <c r="C17" s="5" t="s">
        <v>39</v>
      </c>
      <c r="D17" s="10">
        <v>0.29166666666666669</v>
      </c>
      <c r="E17" s="10">
        <v>0.69027777777777777</v>
      </c>
    </row>
    <row r="18" spans="1:5" x14ac:dyDescent="0.25">
      <c r="A18" s="2">
        <f t="shared" si="0"/>
        <v>17</v>
      </c>
      <c r="B18" s="2">
        <v>4</v>
      </c>
      <c r="C18" s="5" t="s">
        <v>40</v>
      </c>
      <c r="D18" s="10">
        <v>0.29166666666666669</v>
      </c>
      <c r="E18" s="10">
        <v>0.69027777777777777</v>
      </c>
    </row>
    <row r="19" spans="1:5" x14ac:dyDescent="0.25">
      <c r="A19" s="2">
        <f t="shared" si="0"/>
        <v>18</v>
      </c>
      <c r="B19" s="2">
        <v>4</v>
      </c>
      <c r="C19" s="5" t="s">
        <v>41</v>
      </c>
      <c r="D19" s="10">
        <v>0.29166666666666669</v>
      </c>
      <c r="E19" s="10">
        <v>0.69027777777777777</v>
      </c>
    </row>
    <row r="20" spans="1:5" x14ac:dyDescent="0.25">
      <c r="A20" s="2">
        <f t="shared" si="0"/>
        <v>19</v>
      </c>
      <c r="B20" s="2">
        <v>4</v>
      </c>
      <c r="C20" s="5" t="s">
        <v>42</v>
      </c>
      <c r="D20" s="10">
        <v>0.29166666666666669</v>
      </c>
      <c r="E20" s="10">
        <v>0.69027777777777777</v>
      </c>
    </row>
    <row r="21" spans="1:5" x14ac:dyDescent="0.25">
      <c r="A21" s="2">
        <f t="shared" si="0"/>
        <v>20</v>
      </c>
      <c r="B21" s="2">
        <v>4</v>
      </c>
      <c r="C21" s="5" t="s">
        <v>43</v>
      </c>
      <c r="D21" s="10">
        <v>0.29166666666666669</v>
      </c>
      <c r="E21" s="10">
        <v>0.65625</v>
      </c>
    </row>
    <row r="22" spans="1:5" x14ac:dyDescent="0.25">
      <c r="A22" s="2">
        <f t="shared" si="0"/>
        <v>21</v>
      </c>
      <c r="B22" s="2">
        <v>5</v>
      </c>
      <c r="C22" s="5" t="s">
        <v>39</v>
      </c>
      <c r="D22" s="10">
        <v>0.3125</v>
      </c>
      <c r="E22" s="10">
        <v>0.75</v>
      </c>
    </row>
    <row r="23" spans="1:5" x14ac:dyDescent="0.25">
      <c r="A23" s="2">
        <f t="shared" si="0"/>
        <v>22</v>
      </c>
      <c r="B23" s="2">
        <v>5</v>
      </c>
      <c r="C23" s="5" t="s">
        <v>40</v>
      </c>
      <c r="D23" s="10">
        <v>0.3125</v>
      </c>
      <c r="E23" s="10">
        <v>0.75</v>
      </c>
    </row>
    <row r="24" spans="1:5" x14ac:dyDescent="0.25">
      <c r="A24" s="2">
        <f t="shared" si="0"/>
        <v>23</v>
      </c>
      <c r="B24" s="2">
        <v>5</v>
      </c>
      <c r="C24" s="5" t="s">
        <v>41</v>
      </c>
      <c r="D24" s="10">
        <v>0.3125</v>
      </c>
      <c r="E24" s="10">
        <v>0.75</v>
      </c>
    </row>
    <row r="25" spans="1:5" x14ac:dyDescent="0.25">
      <c r="A25" s="2">
        <f t="shared" si="0"/>
        <v>24</v>
      </c>
      <c r="B25" s="2">
        <v>5</v>
      </c>
      <c r="C25" s="5" t="s">
        <v>42</v>
      </c>
      <c r="D25" s="10">
        <v>0.3125</v>
      </c>
      <c r="E25" s="10">
        <v>0.75</v>
      </c>
    </row>
    <row r="26" spans="1:5" x14ac:dyDescent="0.25">
      <c r="A26" s="2">
        <f t="shared" si="0"/>
        <v>25</v>
      </c>
      <c r="B26" s="2">
        <v>5</v>
      </c>
      <c r="C26" s="5" t="s">
        <v>43</v>
      </c>
      <c r="D26" s="10">
        <v>0.3125</v>
      </c>
      <c r="E26" s="10">
        <v>0.75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tabSelected="1" workbookViewId="0">
      <selection activeCell="B4" sqref="B4"/>
    </sheetView>
  </sheetViews>
  <sheetFormatPr defaultRowHeight="15" x14ac:dyDescent="0.25"/>
  <cols>
    <col min="2" max="2" width="32.42578125" style="11" bestFit="1" customWidth="1"/>
    <col min="3" max="3" width="13.7109375" style="11" customWidth="1"/>
    <col min="4" max="4" width="12" style="9" customWidth="1"/>
    <col min="5" max="5" width="12.42578125" style="11" customWidth="1"/>
    <col min="7" max="7" width="16.85546875" style="11" bestFit="1" customWidth="1"/>
    <col min="8" max="9" width="10.140625" style="11" customWidth="1"/>
    <col min="10" max="10" width="13.5703125" style="11" bestFit="1" customWidth="1"/>
    <col min="11" max="11" width="19.28515625" style="11" bestFit="1" customWidth="1"/>
    <col min="12" max="12" width="25.5703125" style="11" customWidth="1"/>
  </cols>
  <sheetData>
    <row r="1" spans="1:14" x14ac:dyDescent="0.25">
      <c r="A1" t="s">
        <v>0</v>
      </c>
      <c r="B1" t="s">
        <v>44</v>
      </c>
      <c r="C1" t="s">
        <v>45</v>
      </c>
      <c r="D1" s="9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 x14ac:dyDescent="0.25">
      <c r="A2">
        <v>1</v>
      </c>
      <c r="B2" t="s">
        <v>11</v>
      </c>
      <c r="C2" t="s">
        <v>57</v>
      </c>
      <c r="D2" s="9">
        <v>46175</v>
      </c>
      <c r="F2" t="s">
        <v>58</v>
      </c>
      <c r="G2" t="s">
        <v>59</v>
      </c>
      <c r="H2" t="s">
        <v>60</v>
      </c>
      <c r="J2" t="s">
        <v>6</v>
      </c>
      <c r="L2">
        <v>45</v>
      </c>
    </row>
    <row r="3" spans="1:14" x14ac:dyDescent="0.25">
      <c r="A3">
        <v>2</v>
      </c>
      <c r="B3" t="s">
        <v>19</v>
      </c>
      <c r="C3" t="s">
        <v>61</v>
      </c>
      <c r="D3" s="9">
        <v>46175</v>
      </c>
      <c r="F3" t="s">
        <v>58</v>
      </c>
      <c r="G3" t="s">
        <v>62</v>
      </c>
      <c r="H3" t="s">
        <v>60</v>
      </c>
      <c r="J3" t="str">
        <f>$J$2</f>
        <v>Leandro</v>
      </c>
      <c r="K3" s="10"/>
      <c r="L3">
        <v>60</v>
      </c>
    </row>
    <row r="4" spans="1:14" x14ac:dyDescent="0.25">
      <c r="A4">
        <f>A3+1</f>
        <v>3</v>
      </c>
      <c r="B4" t="s">
        <v>15</v>
      </c>
      <c r="C4" t="s">
        <v>57</v>
      </c>
      <c r="D4" s="9">
        <v>46175</v>
      </c>
      <c r="F4" t="s">
        <v>58</v>
      </c>
      <c r="G4" t="s">
        <v>59</v>
      </c>
      <c r="H4" t="s">
        <v>60</v>
      </c>
      <c r="J4" t="str">
        <f>$J$2</f>
        <v>Leandro</v>
      </c>
      <c r="L4">
        <v>45</v>
      </c>
    </row>
    <row r="5" spans="1:14" x14ac:dyDescent="0.25">
      <c r="A5">
        <f>A4+1</f>
        <v>4</v>
      </c>
      <c r="B5" t="s">
        <v>27</v>
      </c>
      <c r="C5" t="s">
        <v>57</v>
      </c>
      <c r="D5" s="9">
        <v>46175</v>
      </c>
      <c r="F5" t="s">
        <v>58</v>
      </c>
      <c r="G5" t="s">
        <v>59</v>
      </c>
      <c r="H5" t="s">
        <v>60</v>
      </c>
      <c r="J5" t="str">
        <f>$J$2</f>
        <v>Leandro</v>
      </c>
      <c r="L5">
        <v>120</v>
      </c>
    </row>
    <row r="6" spans="1:14" x14ac:dyDescent="0.25">
      <c r="A6">
        <f>A5+1</f>
        <v>5</v>
      </c>
      <c r="B6" t="s">
        <v>23</v>
      </c>
      <c r="C6" t="s">
        <v>57</v>
      </c>
      <c r="D6" s="9">
        <v>46175</v>
      </c>
      <c r="F6" t="s">
        <v>58</v>
      </c>
      <c r="G6" t="s">
        <v>59</v>
      </c>
      <c r="H6" t="s">
        <v>60</v>
      </c>
      <c r="J6" t="str">
        <f>$J$2</f>
        <v>Leandro</v>
      </c>
      <c r="L6">
        <v>400</v>
      </c>
    </row>
  </sheetData>
  <dataValidations count="5">
    <dataValidation type="list" allowBlank="1" showInputMessage="1" showErrorMessage="1" sqref="C1:C1048576" xr:uid="{00000000-0002-0000-0300-000000000000}">
      <formula1>"Entrega, Manutenção"</formula1>
    </dataValidation>
    <dataValidation type="list" allowBlank="1" showInputMessage="1" showErrorMessage="1" sqref="E1:E1048576" xr:uid="{00000000-0002-0000-0300-000001000000}">
      <formula1>"urgente"</formula1>
    </dataValidation>
    <dataValidation type="list" allowBlank="1" showInputMessage="1" showErrorMessage="1" sqref="F1:F1048576" xr:uid="{00000000-0002-0000-0300-000002000000}">
      <formula1>"A FAZER, EM ANDAMENTO, CONCLUIDO"</formula1>
    </dataValidation>
    <dataValidation type="list" allowBlank="1" showInputMessage="1" showErrorMessage="1" sqref="I1:I1048576" xr:uid="{00000000-0002-0000-0300-000003000000}">
      <formula1>"externa, interna"</formula1>
    </dataValidation>
    <dataValidation type="list" allowBlank="1" showInputMessage="1" showErrorMessage="1" sqref="B1:B1048576" xr:uid="{00000000-0002-0000-0300-000004000000}">
      <formula1>NomesClientes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Funcionarios</vt:lpstr>
      <vt:lpstr>Clientes</vt:lpstr>
      <vt:lpstr>Horarios_Clientes</vt:lpstr>
      <vt:lpstr>Pedidos</vt:lpstr>
      <vt:lpstr>NomesClientes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Dantas</dc:creator>
  <cp:lastModifiedBy>Gustavo Dantas</cp:lastModifiedBy>
  <dcterms:created xsi:type="dcterms:W3CDTF">2026-05-06T00:40:59Z</dcterms:created>
  <dcterms:modified xsi:type="dcterms:W3CDTF">2026-06-03T02:39:40Z</dcterms:modified>
</cp:coreProperties>
</file>