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435" windowWidth="21600" windowHeight="10590" tabRatio="600" firstSheet="0" activeTab="3" autoFilterDateGrouping="1"/>
  </bookViews>
  <sheets>
    <sheet name="Funcionarios" sheetId="1" state="visible" r:id="rId1"/>
    <sheet name="Clientes" sheetId="2" state="visible" r:id="rId2"/>
    <sheet name="Horarios_Clientes" sheetId="3" state="visible" r:id="rId3"/>
    <sheet name="Pedidos" sheetId="4" state="visible" r:id="rId4"/>
    <sheet name="Itinerario" sheetId="5" state="visible" r:id="rId5"/>
    <sheet name="Historico" sheetId="6" state="visible" r:id="rId6"/>
  </sheets>
  <definedNames>
    <definedName name="NomesClientes">'Clientes'!$B:$B</definedName>
  </definedNames>
  <calcPr calcId="191029" fullCalcOnLoad="1" refMode="R1C1"/>
</workbook>
</file>

<file path=xl/styles.xml><?xml version="1.0" encoding="utf-8"?>
<styleSheet xmlns="http://schemas.openxmlformats.org/spreadsheetml/2006/main">
  <numFmts count="1">
    <numFmt numFmtId="164" formatCode="yyyy\-mm\-dd;@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A1916"/>
      </patternFill>
    </fill>
    <fill>
      <patternFill patternType="solid">
        <fgColor rgb="FFFFFFFF"/>
      </patternFill>
    </fill>
    <fill>
      <patternFill patternType="solid">
        <fgColor rgb="FFFAEEDA"/>
      </patternFill>
    </fill>
    <fill>
      <patternFill patternType="solid">
        <fgColor rgb="FFFFFFFF"/>
      </patternFill>
    </fill>
    <fill>
      <patternFill patternType="solid">
        <fgColor rgb="00FAEEDA"/>
      </patternFill>
    </fill>
    <fill>
      <patternFill patternType="solid">
        <fgColor rgb="00FFFFFF"/>
      </patternFill>
    </fill>
    <fill>
      <patternFill patternType="solid">
        <fgColor rgb="001A1916"/>
      </patternFill>
    </fill>
  </fills>
  <borders count="6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rgb="FFE2E0D8"/>
      </left>
      <right style="thin">
        <color rgb="FFE2E0D8"/>
      </right>
      <top style="thin">
        <color rgb="FFE2E0D8"/>
      </top>
      <bottom style="thin">
        <color rgb="FFE2E0D8"/>
      </bottom>
      <diagonal/>
    </border>
    <border>
      <left style="thin">
        <color rgb="FFE2E0D8"/>
      </left>
      <right style="thin">
        <color rgb="FFE2E0D8"/>
      </right>
      <top style="thin">
        <color rgb="FFE2E0D8"/>
      </top>
      <bottom style="thin">
        <color rgb="FFE2E0D8"/>
      </bottom>
      <diagonal/>
    </border>
    <border>
      <left style="thin">
        <color rgb="00E2E0D8"/>
      </left>
      <right style="thin">
        <color rgb="00E2E0D8"/>
      </right>
      <top style="thin">
        <color rgb="00E2E0D8"/>
      </top>
      <bottom style="thin">
        <color rgb="00E2E0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" fontId="0" fillId="0" borderId="0" pivotButton="0" quotePrefix="0" xfId="0"/>
    <xf numFmtId="1" fontId="1" fillId="0" borderId="1" pivotButton="0" quotePrefix="0" xfId="0"/>
    <xf numFmtId="1" fontId="1" fillId="0" borderId="2" pivotButton="0" quotePrefix="0" xfId="0"/>
    <xf numFmtId="49" fontId="0" fillId="0" borderId="0" pivotButton="0" quotePrefix="0" xfId="0"/>
    <xf numFmtId="49" fontId="1" fillId="0" borderId="1" pivotButton="0" quotePrefix="0" xfId="0"/>
    <xf numFmtId="0" fontId="1" fillId="0" borderId="1" applyAlignment="1" pivotButton="0" quotePrefix="0" xfId="0">
      <alignment horizontal="right"/>
    </xf>
    <xf numFmtId="49" fontId="2" fillId="0" borderId="0" pivotButton="0" quotePrefix="0" xfId="0"/>
    <xf numFmtId="164" fontId="0" fillId="0" borderId="0" pivotButton="0" quotePrefix="0" xfId="0"/>
    <xf numFmtId="20" fontId="0" fillId="0" borderId="0" pivotButton="0" quotePrefix="0" xfId="0"/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3" borderId="3" applyAlignment="1" pivotButton="0" quotePrefix="0" xfId="0">
      <alignment vertical="center" wrapText="1"/>
    </xf>
    <xf numFmtId="0" fontId="0" fillId="4" borderId="4" applyAlignment="1" pivotButton="0" quotePrefix="0" xfId="0">
      <alignment vertical="center" wrapText="1"/>
    </xf>
    <xf numFmtId="0" fontId="0" fillId="5" borderId="4" applyAlignment="1" pivotButton="0" quotePrefix="0" xfId="0">
      <alignment vertical="center" wrapText="1"/>
    </xf>
    <xf numFmtId="0" fontId="0" fillId="6" borderId="5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4" fillId="8" borderId="0" applyAlignment="1" pivotButton="0" quotePrefix="0" xfId="0">
      <alignment horizontal="center"/>
    </xf>
  </cellXfs>
  <cellStyles count="1">
    <cellStyle name="Normal" xfId="0" builtinId="0"/>
  </cellStyles>
  <dxfs count="12">
    <dxf>
      <numFmt numFmtId="164" formatCode="yyyy\-mm\-dd;@"/>
    </dxf>
    <dxf>
      <numFmt numFmtId="0" formatCode="General"/>
    </dxf>
    <dxf>
      <numFmt numFmtId="0" formatCode="General"/>
    </dxf>
    <dxf>
      <numFmt numFmtId="30" formatCode="@"/>
    </dxf>
    <dxf>
      <numFmt numFmtId="1" formatCode="0"/>
    </dxf>
    <dxf>
      <numFmt numFmtId="1" formatCode="0"/>
    </dxf>
    <dxf>
      <numFmt numFmtId="0" formatCode="General"/>
      <alignment horizontal="right" vertical="bottom"/>
    </dxf>
    <dxf>
      <numFmt numFmtId="0" formatCode="General"/>
    </dxf>
    <dxf>
      <numFmt numFmtId="30" formatCode="@"/>
    </dxf>
    <dxf>
      <numFmt numFmtId="30" formatCode="@"/>
    </dxf>
    <dxf>
      <numFmt numFmtId="1" formatCode="0"/>
    </dxf>
    <dxf>
      <numFmt numFmtId="1" formatCode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Funcionarios" displayName="Funcionarios" ref="A1:B6" headerRowCount="1" totalsRowShown="0">
  <autoFilter ref="A1:B6"/>
  <tableColumns count="2">
    <tableColumn id="1" name="id"/>
    <tableColumn id="2" name="nom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Clientes" displayName="Clientes" ref="A1:F7" headerRowCount="1" totalsRowShown="0">
  <autoFilter ref="A1:F7"/>
  <tableColumns count="6">
    <tableColumn id="1" name="id" dataDxfId="11" totalsRowDxfId="10"/>
    <tableColumn id="2" name="nome" totalsRowDxfId="9"/>
    <tableColumn id="3" name="cnpj"/>
    <tableColumn id="4" name="cep"/>
    <tableColumn id="5" name="endereço" totalsRowDxfId="8"/>
    <tableColumn id="6" name="numero_endereco" dataDxfId="7" totalsRowDxfId="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Horarios_Cliente" displayName="Horarios_Cliente" ref="A1:E26" headerRowCount="1" totalsRowShown="0">
  <autoFilter ref="A1:E26"/>
  <tableColumns count="5">
    <tableColumn id="1" name="id" dataDxfId="5"/>
    <tableColumn id="2" name="id_cliente" dataDxfId="4"/>
    <tableColumn id="3" name="dia_semana" dataDxfId="3"/>
    <tableColumn id="4" name="hora_entrada" dataDxfId="2"/>
    <tableColumn id="5" name="hora_saida" dataDxfId="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Pedidos" displayName="Pedidos" ref="A1:N6" headerRowCount="1" totalsRowShown="0">
  <autoFilter ref="A1:N6"/>
  <tableColumns count="14">
    <tableColumn id="1" name="id"/>
    <tableColumn id="2" name="cliente"/>
    <tableColumn id="3" name="tipo_servico"/>
    <tableColumn id="4" name="data_trabalho" dataDxfId="0"/>
    <tableColumn id="5" name="prioridade"/>
    <tableColumn id="7" name="status"/>
    <tableColumn id="8" name="descricao"/>
    <tableColumn id="9" name="fl_retirada"/>
    <tableColumn id="13" name="tipo_retirada"/>
    <tableColumn id="10" name="funcionario"/>
    <tableColumn id="11" name="hora_preferencial"/>
    <tableColumn id="12" name="tempo_estimado_servico"/>
    <tableColumn id="15" name="NF"/>
    <tableColumn id="16" name="Canhot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U21" sqref="U21"/>
    </sheetView>
  </sheetViews>
  <sheetFormatPr baseColWidth="8" defaultRowHeight="15"/>
  <sheetData>
    <row r="1">
      <c r="A1" t="inlineStr">
        <is>
          <t>id</t>
        </is>
      </c>
      <c r="B1" t="inlineStr">
        <is>
          <t>nome</t>
        </is>
      </c>
    </row>
    <row r="2">
      <c r="A2" t="n">
        <v>1</v>
      </c>
      <c r="B2" t="inlineStr">
        <is>
          <t>Jeovane</t>
        </is>
      </c>
    </row>
    <row r="3">
      <c r="A3">
        <f>A2+1</f>
        <v/>
      </c>
      <c r="B3" t="inlineStr">
        <is>
          <t>Jhonatan</t>
        </is>
      </c>
    </row>
    <row r="4">
      <c r="A4">
        <f>A3+1</f>
        <v/>
      </c>
      <c r="B4" t="inlineStr">
        <is>
          <t>Homero</t>
        </is>
      </c>
    </row>
    <row r="5">
      <c r="A5" t="n">
        <v>4</v>
      </c>
      <c r="B5" t="inlineStr">
        <is>
          <t>Bruno</t>
        </is>
      </c>
    </row>
    <row r="6">
      <c r="A6" t="n">
        <v>5</v>
      </c>
      <c r="B6" t="inlineStr">
        <is>
          <t>Leandro</t>
        </is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E8" sqref="E8"/>
    </sheetView>
  </sheetViews>
  <sheetFormatPr baseColWidth="8" defaultRowHeight="15"/>
  <cols>
    <col width="9.140625" customWidth="1" style="2" min="1" max="1"/>
    <col width="32.42578125" bestFit="1" customWidth="1" style="5" min="2" max="2"/>
    <col width="18.85546875" bestFit="1" customWidth="1" style="11" min="3" max="3"/>
    <col width="12.28515625" customWidth="1" style="11" min="4" max="4"/>
    <col width="30.140625" customWidth="1" style="5" min="5" max="5"/>
    <col width="19" customWidth="1" style="11" min="6" max="6"/>
  </cols>
  <sheetData>
    <row r="1">
      <c r="A1" s="2" t="inlineStr">
        <is>
          <t>id</t>
        </is>
      </c>
      <c r="B1" s="5" t="inlineStr">
        <is>
          <t>nome</t>
        </is>
      </c>
      <c r="C1" t="inlineStr">
        <is>
          <t>cnpj</t>
        </is>
      </c>
      <c r="D1" t="inlineStr">
        <is>
          <t>cep</t>
        </is>
      </c>
      <c r="E1" s="5" t="inlineStr">
        <is>
          <t>endereço</t>
        </is>
      </c>
      <c r="F1" t="inlineStr">
        <is>
          <t>numero_endereco</t>
        </is>
      </c>
    </row>
    <row r="2">
      <c r="A2" s="2" t="n">
        <v>1</v>
      </c>
      <c r="B2" s="5" t="inlineStr">
        <is>
          <t>Nippon Chemical</t>
        </is>
      </c>
      <c r="C2" t="inlineStr">
        <is>
          <t>00.000.000/00001-00</t>
        </is>
      </c>
      <c r="D2" t="inlineStr">
        <is>
          <t>13347-404</t>
        </is>
      </c>
      <c r="E2" s="5" t="inlineStr">
        <is>
          <t>R. Antonio Martins Luiz</t>
        </is>
      </c>
      <c r="F2" t="n">
        <v>822</v>
      </c>
      <c r="L2" s="3" t="n"/>
      <c r="M2" s="6" t="n"/>
      <c r="N2" s="1" t="n"/>
      <c r="O2" s="1" t="n"/>
      <c r="P2" s="6" t="n"/>
      <c r="Q2" s="7" t="n"/>
    </row>
    <row r="3">
      <c r="A3" s="4" t="n">
        <v>2</v>
      </c>
      <c r="B3" s="5" t="inlineStr">
        <is>
          <t>MRE Mapp Odontologia Indaiatuba</t>
        </is>
      </c>
      <c r="C3" t="inlineStr">
        <is>
          <t>00.000.000/00001-02</t>
        </is>
      </c>
      <c r="D3" t="inlineStr">
        <is>
          <t>13330-070</t>
        </is>
      </c>
      <c r="E3" s="5" t="inlineStr">
        <is>
          <t>R. Quinze de Novembro</t>
        </is>
      </c>
      <c r="F3" t="n">
        <v>1131</v>
      </c>
    </row>
    <row r="4">
      <c r="A4" s="2" t="n">
        <v>3</v>
      </c>
      <c r="B4" s="8" t="inlineStr">
        <is>
          <t>Keepers II Clube Indaiatuba</t>
        </is>
      </c>
      <c r="C4" t="inlineStr">
        <is>
          <t>00.000.000/00001-03</t>
        </is>
      </c>
      <c r="D4" t="inlineStr">
        <is>
          <t>13331-742</t>
        </is>
      </c>
      <c r="E4" s="5" t="inlineStr">
        <is>
          <t>Av. Fábio Ferraz Bicudo,</t>
        </is>
      </c>
      <c r="F4" t="n">
        <v>1197</v>
      </c>
    </row>
    <row r="5">
      <c r="A5" s="2" t="n">
        <v>4</v>
      </c>
      <c r="B5" s="5" t="inlineStr">
        <is>
          <t>JNC Hortolândia</t>
        </is>
      </c>
      <c r="C5" t="inlineStr">
        <is>
          <t>05.265.205/0001-12</t>
        </is>
      </c>
      <c r="D5" t="inlineStr">
        <is>
          <t>13184-889</t>
        </is>
      </c>
      <c r="E5" s="5" t="inlineStr">
        <is>
          <t>Avenida Carlos Roberto Prataviera</t>
        </is>
      </c>
      <c r="F5" t="n">
        <v>45</v>
      </c>
    </row>
    <row r="6">
      <c r="A6" s="2" t="n">
        <v>5</v>
      </c>
      <c r="B6" s="5" t="inlineStr">
        <is>
          <t>Ecosssitema MKT Rio Claro</t>
        </is>
      </c>
      <c r="C6" t="inlineStr">
        <is>
          <t xml:space="preserve">50.250.454/0001-99 </t>
        </is>
      </c>
      <c r="D6" t="inlineStr">
        <is>
          <t>13501-080</t>
        </is>
      </c>
      <c r="E6" s="5" t="inlineStr">
        <is>
          <t>Rua 7 Cj</t>
        </is>
      </c>
      <c r="F6" t="n">
        <v>177</v>
      </c>
    </row>
    <row r="7">
      <c r="A7" s="2" t="n">
        <v>6</v>
      </c>
      <c r="B7" s="5" t="inlineStr">
        <is>
          <t xml:space="preserve">Tamandare Tintas </t>
        </is>
      </c>
      <c r="C7" t="inlineStr">
        <is>
          <t>00.000.000/00001-04</t>
        </is>
      </c>
      <c r="D7" t="inlineStr">
        <is>
          <t>13338-010</t>
        </is>
      </c>
      <c r="E7" s="5" t="inlineStr">
        <is>
          <t>Avenida Visconde de Indaituba</t>
        </is>
      </c>
      <c r="F7" t="n">
        <v>441</v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L24" sqref="L24"/>
    </sheetView>
  </sheetViews>
  <sheetFormatPr baseColWidth="8" defaultRowHeight="15"/>
  <cols>
    <col width="4.85546875" customWidth="1" style="2" min="1" max="1"/>
    <col width="11.5703125" customWidth="1" style="2" min="2" max="2"/>
    <col width="15.140625" customWidth="1" style="5" min="3" max="3"/>
    <col width="15" customWidth="1" style="11" min="4" max="4"/>
    <col width="13.140625" customWidth="1" style="11" min="5" max="5"/>
  </cols>
  <sheetData>
    <row r="1">
      <c r="A1" s="2" t="inlineStr">
        <is>
          <t>id</t>
        </is>
      </c>
      <c r="B1" s="2" t="inlineStr">
        <is>
          <t>id_cliente</t>
        </is>
      </c>
      <c r="C1" s="5" t="inlineStr">
        <is>
          <t>dia_semana</t>
        </is>
      </c>
      <c r="D1" t="inlineStr">
        <is>
          <t>hora_entrada</t>
        </is>
      </c>
      <c r="E1" t="inlineStr">
        <is>
          <t>hora_saida</t>
        </is>
      </c>
    </row>
    <row r="2">
      <c r="A2" s="2" t="n">
        <v>1</v>
      </c>
      <c r="B2" s="2" t="n">
        <v>1</v>
      </c>
      <c r="C2" s="5" t="inlineStr">
        <is>
          <t>Segunda</t>
        </is>
      </c>
      <c r="D2" s="10" t="n">
        <v>0.2916666666666667</v>
      </c>
      <c r="E2" s="10" t="n">
        <v>0.7083333333333334</v>
      </c>
    </row>
    <row r="3">
      <c r="A3" s="2">
        <f>A2+1</f>
        <v/>
      </c>
      <c r="B3" s="2" t="n">
        <v>1</v>
      </c>
      <c r="C3" s="5" t="inlineStr">
        <is>
          <t>Terça</t>
        </is>
      </c>
      <c r="D3" s="10" t="n">
        <v>0.2916666666666667</v>
      </c>
      <c r="E3" s="10" t="n">
        <v>0.7083333333333334</v>
      </c>
    </row>
    <row r="4">
      <c r="A4" s="2">
        <f>A3+1</f>
        <v/>
      </c>
      <c r="B4" s="2" t="n">
        <v>1</v>
      </c>
      <c r="C4" s="5" t="inlineStr">
        <is>
          <t>Quarta</t>
        </is>
      </c>
      <c r="D4" s="10" t="n">
        <v>0.2916666666666667</v>
      </c>
      <c r="E4" s="10" t="n">
        <v>0.7083333333333334</v>
      </c>
    </row>
    <row r="5">
      <c r="A5" s="2">
        <f>A4+1</f>
        <v/>
      </c>
      <c r="B5" s="2" t="n">
        <v>1</v>
      </c>
      <c r="C5" s="5" t="inlineStr">
        <is>
          <t>Quinta</t>
        </is>
      </c>
      <c r="D5" s="10" t="n">
        <v>0.2916666666666667</v>
      </c>
      <c r="E5" s="10" t="n">
        <v>0.7083333333333334</v>
      </c>
    </row>
    <row r="6">
      <c r="A6" s="2">
        <f>A5+1</f>
        <v/>
      </c>
      <c r="B6" s="2" t="n">
        <v>1</v>
      </c>
      <c r="C6" s="5" t="inlineStr">
        <is>
          <t>Sexta</t>
        </is>
      </c>
      <c r="D6" s="10" t="n">
        <v>0.2916666666666667</v>
      </c>
      <c r="E6" s="10" t="n">
        <v>0.7083333333333334</v>
      </c>
    </row>
    <row r="7">
      <c r="A7" s="2">
        <f>A6+1</f>
        <v/>
      </c>
      <c r="B7" s="2" t="n">
        <v>2</v>
      </c>
      <c r="C7" s="5" t="inlineStr">
        <is>
          <t>Segunda</t>
        </is>
      </c>
      <c r="D7" s="10" t="n">
        <v>0.375</v>
      </c>
      <c r="E7" s="10" t="n">
        <v>0.7916666666666666</v>
      </c>
    </row>
    <row r="8">
      <c r="A8" s="2">
        <f>A7+1</f>
        <v/>
      </c>
      <c r="B8" s="2" t="n">
        <v>2</v>
      </c>
      <c r="C8" s="5" t="inlineStr">
        <is>
          <t>Terça</t>
        </is>
      </c>
      <c r="D8" s="10" t="n">
        <v>0.375</v>
      </c>
      <c r="E8" s="10" t="n">
        <v>0.7916666666666666</v>
      </c>
    </row>
    <row r="9">
      <c r="A9" s="2">
        <f>A8+1</f>
        <v/>
      </c>
      <c r="B9" s="2" t="n">
        <v>2</v>
      </c>
      <c r="C9" s="5" t="inlineStr">
        <is>
          <t>Quarta</t>
        </is>
      </c>
      <c r="D9" s="10" t="n">
        <v>0.375</v>
      </c>
      <c r="E9" s="10" t="n">
        <v>0.7916666666666666</v>
      </c>
    </row>
    <row r="10">
      <c r="A10" s="2">
        <f>A9+1</f>
        <v/>
      </c>
      <c r="B10" s="2" t="n">
        <v>2</v>
      </c>
      <c r="C10" s="5" t="inlineStr">
        <is>
          <t>Quinta</t>
        </is>
      </c>
      <c r="D10" s="10" t="n">
        <v>0.375</v>
      </c>
      <c r="E10" s="10" t="n">
        <v>0.7916666666666666</v>
      </c>
    </row>
    <row r="11">
      <c r="A11" s="2">
        <f>A10+1</f>
        <v/>
      </c>
      <c r="B11" s="2" t="n">
        <v>2</v>
      </c>
      <c r="C11" s="5" t="inlineStr">
        <is>
          <t>Sexta</t>
        </is>
      </c>
      <c r="D11" s="10" t="n">
        <v>0.375</v>
      </c>
      <c r="E11" s="10" t="n">
        <v>0.7916666666666666</v>
      </c>
    </row>
    <row r="12">
      <c r="A12" s="2">
        <f>A11+1</f>
        <v/>
      </c>
      <c r="B12" s="2" t="n">
        <v>3</v>
      </c>
      <c r="C12" s="5" t="inlineStr">
        <is>
          <t>Segunda</t>
        </is>
      </c>
      <c r="D12" s="10" t="n">
        <v>0.5833333333333334</v>
      </c>
      <c r="E12" s="10" t="n">
        <v>0.7916666666666666</v>
      </c>
    </row>
    <row r="13">
      <c r="A13" s="2">
        <f>A12+1</f>
        <v/>
      </c>
      <c r="B13" s="2" t="n">
        <v>3</v>
      </c>
      <c r="C13" s="5" t="inlineStr">
        <is>
          <t>Terça</t>
        </is>
      </c>
      <c r="D13" s="10" t="n">
        <v>0.5833333333333334</v>
      </c>
      <c r="E13" s="10" t="n">
        <v>0.7916666666666666</v>
      </c>
    </row>
    <row r="14">
      <c r="A14" s="2">
        <f>A13+1</f>
        <v/>
      </c>
      <c r="B14" s="2" t="n">
        <v>3</v>
      </c>
      <c r="C14" s="5" t="inlineStr">
        <is>
          <t>Quarta</t>
        </is>
      </c>
      <c r="D14" s="10" t="n">
        <v>0.5833333333333334</v>
      </c>
      <c r="E14" s="10" t="n">
        <v>0.7916666666666666</v>
      </c>
    </row>
    <row r="15">
      <c r="A15" s="2">
        <f>A14+1</f>
        <v/>
      </c>
      <c r="B15" s="2" t="n">
        <v>3</v>
      </c>
      <c r="C15" s="5" t="inlineStr">
        <is>
          <t>Quinta</t>
        </is>
      </c>
      <c r="D15" s="10" t="n">
        <v>0.5833333333333334</v>
      </c>
      <c r="E15" s="10" t="n">
        <v>0.7916666666666666</v>
      </c>
    </row>
    <row r="16">
      <c r="A16" s="2">
        <f>A15+1</f>
        <v/>
      </c>
      <c r="B16" s="2" t="n">
        <v>3</v>
      </c>
      <c r="C16" s="5" t="inlineStr">
        <is>
          <t>Sexta</t>
        </is>
      </c>
      <c r="D16" s="10" t="n">
        <v>0.5833333333333334</v>
      </c>
      <c r="E16" s="10" t="n">
        <v>0.7916666666666666</v>
      </c>
    </row>
    <row r="17">
      <c r="A17" s="2">
        <f>A16+1</f>
        <v/>
      </c>
      <c r="B17" s="2" t="n">
        <v>4</v>
      </c>
      <c r="C17" s="5" t="inlineStr">
        <is>
          <t>Segunda</t>
        </is>
      </c>
      <c r="D17" s="10" t="n">
        <v>0.2916666666666667</v>
      </c>
      <c r="E17" s="10" t="n">
        <v>0.6902777777777778</v>
      </c>
    </row>
    <row r="18">
      <c r="A18" s="2">
        <f>A17+1</f>
        <v/>
      </c>
      <c r="B18" s="2" t="n">
        <v>4</v>
      </c>
      <c r="C18" s="5" t="inlineStr">
        <is>
          <t>Terça</t>
        </is>
      </c>
      <c r="D18" s="10" t="n">
        <v>0.2916666666666667</v>
      </c>
      <c r="E18" s="10" t="n">
        <v>0.6902777777777778</v>
      </c>
    </row>
    <row r="19">
      <c r="A19" s="2">
        <f>A18+1</f>
        <v/>
      </c>
      <c r="B19" s="2" t="n">
        <v>4</v>
      </c>
      <c r="C19" s="5" t="inlineStr">
        <is>
          <t>Quarta</t>
        </is>
      </c>
      <c r="D19" s="10" t="n">
        <v>0.2916666666666667</v>
      </c>
      <c r="E19" s="10" t="n">
        <v>0.6902777777777778</v>
      </c>
    </row>
    <row r="20">
      <c r="A20" s="2">
        <f>A19+1</f>
        <v/>
      </c>
      <c r="B20" s="2" t="n">
        <v>4</v>
      </c>
      <c r="C20" s="5" t="inlineStr">
        <is>
          <t>Quinta</t>
        </is>
      </c>
      <c r="D20" s="10" t="n">
        <v>0.2916666666666667</v>
      </c>
      <c r="E20" s="10" t="n">
        <v>0.6902777777777778</v>
      </c>
    </row>
    <row r="21">
      <c r="A21" s="2">
        <f>A20+1</f>
        <v/>
      </c>
      <c r="B21" s="2" t="n">
        <v>4</v>
      </c>
      <c r="C21" s="5" t="inlineStr">
        <is>
          <t>Sexta</t>
        </is>
      </c>
      <c r="D21" s="10" t="n">
        <v>0.2916666666666667</v>
      </c>
      <c r="E21" s="10" t="n">
        <v>0.65625</v>
      </c>
    </row>
    <row r="22">
      <c r="A22" s="2">
        <f>A21+1</f>
        <v/>
      </c>
      <c r="B22" s="2" t="n">
        <v>5</v>
      </c>
      <c r="C22" s="5" t="inlineStr">
        <is>
          <t>Segunda</t>
        </is>
      </c>
      <c r="D22" s="10" t="n">
        <v>0.3125</v>
      </c>
      <c r="E22" s="10" t="n">
        <v>0.75</v>
      </c>
    </row>
    <row r="23">
      <c r="A23" s="2">
        <f>A22+1</f>
        <v/>
      </c>
      <c r="B23" s="2" t="n">
        <v>5</v>
      </c>
      <c r="C23" s="5" t="inlineStr">
        <is>
          <t>Terça</t>
        </is>
      </c>
      <c r="D23" s="10" t="n">
        <v>0.3125</v>
      </c>
      <c r="E23" s="10" t="n">
        <v>0.75</v>
      </c>
    </row>
    <row r="24">
      <c r="A24" s="2">
        <f>A23+1</f>
        <v/>
      </c>
      <c r="B24" s="2" t="n">
        <v>5</v>
      </c>
      <c r="C24" s="5" t="inlineStr">
        <is>
          <t>Quarta</t>
        </is>
      </c>
      <c r="D24" s="10" t="n">
        <v>0.3125</v>
      </c>
      <c r="E24" s="10" t="n">
        <v>0.75</v>
      </c>
    </row>
    <row r="25">
      <c r="A25" s="2">
        <f>A24+1</f>
        <v/>
      </c>
      <c r="B25" s="2" t="n">
        <v>5</v>
      </c>
      <c r="C25" s="5" t="inlineStr">
        <is>
          <t>Quinta</t>
        </is>
      </c>
      <c r="D25" s="10" t="n">
        <v>0.3125</v>
      </c>
      <c r="E25" s="10" t="n">
        <v>0.75</v>
      </c>
    </row>
    <row r="26">
      <c r="A26" s="2">
        <f>A25+1</f>
        <v/>
      </c>
      <c r="B26" s="2" t="n">
        <v>5</v>
      </c>
      <c r="C26" s="5" t="inlineStr">
        <is>
          <t>Sexta</t>
        </is>
      </c>
      <c r="D26" s="10" t="n">
        <v>0.3125</v>
      </c>
      <c r="E26" s="10" t="n">
        <v>0.75</v>
      </c>
    </row>
  </sheetData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tabSelected="1" workbookViewId="0">
      <selection activeCell="G5" sqref="G5"/>
    </sheetView>
  </sheetViews>
  <sheetFormatPr baseColWidth="8" defaultRowHeight="15"/>
  <cols>
    <col width="32.42578125" bestFit="1" customWidth="1" style="11" min="2" max="2"/>
    <col width="13.7109375" customWidth="1" style="11" min="3" max="3"/>
    <col width="12" customWidth="1" style="9" min="4" max="4"/>
    <col width="12.42578125" customWidth="1" style="11" min="5" max="5"/>
    <col width="16.85546875" bestFit="1" customWidth="1" style="11" min="7" max="7"/>
    <col width="10.140625" customWidth="1" style="11" min="8" max="9"/>
    <col width="13.5703125" bestFit="1" customWidth="1" style="11" min="10" max="10"/>
    <col width="19.28515625" bestFit="1" customWidth="1" style="11" min="11" max="11"/>
    <col width="25.5703125" customWidth="1" style="11" min="12" max="12"/>
  </cols>
  <sheetData>
    <row r="1">
      <c r="A1" t="inlineStr">
        <is>
          <t>id</t>
        </is>
      </c>
      <c r="B1" t="inlineStr">
        <is>
          <t>cliente</t>
        </is>
      </c>
      <c r="C1" t="inlineStr">
        <is>
          <t>tipo_servico</t>
        </is>
      </c>
      <c r="D1" s="9" t="inlineStr">
        <is>
          <t>data_trabalho</t>
        </is>
      </c>
      <c r="E1" t="inlineStr">
        <is>
          <t>prioridade</t>
        </is>
      </c>
      <c r="F1" t="inlineStr">
        <is>
          <t>status</t>
        </is>
      </c>
      <c r="G1" t="inlineStr">
        <is>
          <t>descricao</t>
        </is>
      </c>
      <c r="H1" t="inlineStr">
        <is>
          <t>fl_retirada</t>
        </is>
      </c>
      <c r="I1" t="inlineStr">
        <is>
          <t>tipo_retirada</t>
        </is>
      </c>
      <c r="J1" t="inlineStr">
        <is>
          <t>funcionario</t>
        </is>
      </c>
      <c r="K1" t="inlineStr">
        <is>
          <t>hora_preferencial</t>
        </is>
      </c>
      <c r="L1" t="inlineStr">
        <is>
          <t>tempo_estimado_servico</t>
        </is>
      </c>
      <c r="M1" t="inlineStr">
        <is>
          <t>NF</t>
        </is>
      </c>
      <c r="N1" t="inlineStr">
        <is>
          <t>Canhoto</t>
        </is>
      </c>
    </row>
    <row r="2">
      <c r="A2" t="n">
        <v>1</v>
      </c>
      <c r="B2" t="inlineStr">
        <is>
          <t>Nippon Chemical</t>
        </is>
      </c>
      <c r="C2" t="inlineStr">
        <is>
          <t>Entrega</t>
        </is>
      </c>
      <c r="D2" s="9" t="n">
        <v>46149</v>
      </c>
      <c r="F2" t="inlineStr">
        <is>
          <t>A FAZER</t>
        </is>
      </c>
      <c r="G2" t="inlineStr">
        <is>
          <t>Levar 3 cafés</t>
        </is>
      </c>
      <c r="H2" t="inlineStr">
        <is>
          <t>NÃO</t>
        </is>
      </c>
      <c r="J2" t="inlineStr">
        <is>
          <t>Leandro</t>
        </is>
      </c>
      <c r="L2" t="n">
        <v>45</v>
      </c>
    </row>
    <row r="3">
      <c r="A3" t="n">
        <v>2</v>
      </c>
      <c r="B3" t="inlineStr">
        <is>
          <t>Keepers II Clube Indaiatuba</t>
        </is>
      </c>
      <c r="C3" t="inlineStr">
        <is>
          <t>Manutenção</t>
        </is>
      </c>
      <c r="D3" s="9" t="n">
        <v>46149</v>
      </c>
      <c r="F3" t="inlineStr">
        <is>
          <t>A FAZER</t>
        </is>
      </c>
      <c r="G3" t="inlineStr">
        <is>
          <t>Arrumar maquina</t>
        </is>
      </c>
      <c r="H3" t="inlineStr">
        <is>
          <t>NÃO</t>
        </is>
      </c>
      <c r="J3">
        <f>$J$2</f>
        <v/>
      </c>
      <c r="K3" s="10" t="n"/>
      <c r="L3" t="n">
        <v>60</v>
      </c>
    </row>
    <row r="4">
      <c r="A4">
        <f>A3+1</f>
        <v/>
      </c>
      <c r="B4" t="inlineStr">
        <is>
          <t>MRE Mapp Odontologia Indaiatuba</t>
        </is>
      </c>
      <c r="C4" t="inlineStr">
        <is>
          <t>Entrega</t>
        </is>
      </c>
      <c r="D4" s="9" t="n">
        <v>46149</v>
      </c>
      <c r="F4" t="inlineStr">
        <is>
          <t>A FAZER</t>
        </is>
      </c>
      <c r="G4" t="inlineStr">
        <is>
          <t>Levar 3 cafés</t>
        </is>
      </c>
      <c r="H4" t="inlineStr">
        <is>
          <t>NÃO</t>
        </is>
      </c>
      <c r="J4">
        <f>$J$2</f>
        <v/>
      </c>
      <c r="L4" t="n">
        <v>45</v>
      </c>
    </row>
    <row r="5">
      <c r="A5">
        <f>A4+1</f>
        <v/>
      </c>
      <c r="B5" t="inlineStr">
        <is>
          <t>Ecosssitema MKT Rio Claro</t>
        </is>
      </c>
      <c r="C5" t="inlineStr">
        <is>
          <t>Entrega</t>
        </is>
      </c>
      <c r="D5" s="9" t="n">
        <v>46149</v>
      </c>
      <c r="F5" t="inlineStr">
        <is>
          <t>A FAZER</t>
        </is>
      </c>
      <c r="G5" t="inlineStr">
        <is>
          <t>Levar 3 cafés</t>
        </is>
      </c>
      <c r="H5" t="inlineStr">
        <is>
          <t>NÃO</t>
        </is>
      </c>
      <c r="J5">
        <f>$J$2</f>
        <v/>
      </c>
      <c r="L5" t="n">
        <v>120</v>
      </c>
    </row>
    <row r="6">
      <c r="A6">
        <f>A5+1</f>
        <v/>
      </c>
      <c r="B6" t="inlineStr">
        <is>
          <t>JNC Hortolândia</t>
        </is>
      </c>
      <c r="C6" t="inlineStr">
        <is>
          <t>Entrega</t>
        </is>
      </c>
      <c r="D6" s="9" t="n">
        <v>46149</v>
      </c>
      <c r="F6" t="inlineStr">
        <is>
          <t>A FAZER</t>
        </is>
      </c>
      <c r="G6" t="inlineStr">
        <is>
          <t>Levar 3 cafés</t>
        </is>
      </c>
      <c r="H6" t="inlineStr">
        <is>
          <t>NÃO</t>
        </is>
      </c>
      <c r="J6">
        <f>$J$2</f>
        <v/>
      </c>
      <c r="L6" t="n">
        <v>400</v>
      </c>
    </row>
  </sheetData>
  <dataValidations count="5">
    <dataValidation sqref="C1:C1048576" showDropDown="0" showInputMessage="1" showErrorMessage="1" allowBlank="1" type="list">
      <formula1>"Entrega, Manutenção"</formula1>
    </dataValidation>
    <dataValidation sqref="E1:E1048576" showDropDown="0" showInputMessage="1" showErrorMessage="1" allowBlank="1" type="list">
      <formula1>"urgente"</formula1>
    </dataValidation>
    <dataValidation sqref="F1:F1048576" showDropDown="0" showInputMessage="1" showErrorMessage="1" allowBlank="1" type="list">
      <formula1>"A FAZER, EM ANDAMENTO, CONCLUIDO"</formula1>
    </dataValidation>
    <dataValidation sqref="I1:I1048576" showDropDown="0" showInputMessage="1" showErrorMessage="1" allowBlank="1" type="list">
      <formula1>"externa, interna"</formula1>
    </dataValidation>
    <dataValidation sqref="B1:B1048576" showDropDown="0" showInputMessage="1" showErrorMessage="1" allowBlank="1" type="list">
      <formula1>NomesClientes</formula1>
    </dataValidation>
  </dataValidations>
  <pageMargins left="0.511811024" right="0.511811024" top="0.787401575" bottom="0.787401575" header="0.31496062" footer="0.31496062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7"/>
  <sheetViews>
    <sheetView topLeftCell="H1" workbookViewId="0">
      <selection activeCell="K4" sqref="K4"/>
    </sheetView>
  </sheetViews>
  <sheetFormatPr baseColWidth="8" defaultRowHeight="15"/>
  <cols>
    <col width="12" customWidth="1" style="11" min="1" max="2"/>
    <col width="12" customWidth="1" style="11" min="2" max="2"/>
    <col width="16" customWidth="1" style="11" min="3" max="3"/>
    <col width="7" customWidth="1" style="11" min="4" max="4"/>
    <col width="28" customWidth="1" style="11" min="5" max="5"/>
    <col width="12" customWidth="1" style="11" min="6" max="6"/>
    <col width="34" customWidth="1" style="11" min="7" max="7"/>
    <col width="14" customWidth="1" style="11" min="8" max="9"/>
    <col width="14" customWidth="1" style="11" min="9" max="9"/>
    <col width="36" customWidth="1" style="11" min="10" max="10"/>
    <col width="12" customWidth="1" style="11" min="11" max="11"/>
    <col width="10" customWidth="1" style="11" min="12" max="12"/>
    <col width="12" customWidth="1" style="11" min="13" max="15"/>
    <col width="12" customWidth="1" style="11" min="14" max="14"/>
    <col width="12" customWidth="1" style="11" min="15" max="15"/>
    <col width="14" customWidth="1" style="11" min="16" max="16"/>
    <col width="10" customWidth="1" style="11" min="17" max="17"/>
    <col width="30" customWidth="1" style="11" min="18" max="19"/>
  </cols>
  <sheetData>
    <row r="1" ht="21.95" customHeight="1" s="11">
      <c r="A1" s="12" t="inlineStr">
        <is>
          <t>pedido_id</t>
        </is>
      </c>
      <c r="B1" s="12" t="inlineStr">
        <is>
          <t>data</t>
        </is>
      </c>
      <c r="C1" s="12" t="inlineStr">
        <is>
          <t>funcionario</t>
        </is>
      </c>
      <c r="D1" s="12" t="inlineStr">
        <is>
          <t>ordem</t>
        </is>
      </c>
      <c r="E1" s="12" t="inlineStr">
        <is>
          <t>cliente</t>
        </is>
      </c>
      <c r="F1" s="12" t="inlineStr">
        <is>
          <t>cep</t>
        </is>
      </c>
      <c r="G1" s="12" t="inlineStr">
        <is>
          <t>endereco</t>
        </is>
      </c>
      <c r="H1" s="12" t="inlineStr">
        <is>
          <t>tipo_servico</t>
        </is>
      </c>
      <c r="I1" s="12" t="inlineStr">
        <is>
          <t>nf</t>
        </is>
      </c>
      <c r="J1" s="12" t="inlineStr">
        <is>
          <t>canhoto</t>
        </is>
      </c>
      <c r="K1" s="12" t="inlineStr">
        <is>
          <t>descricao</t>
        </is>
      </c>
      <c r="L1" s="12" t="inlineStr">
        <is>
          <t>prioridade</t>
        </is>
      </c>
      <c r="M1" s="12" t="inlineStr">
        <is>
          <t>retirada_externa</t>
        </is>
      </c>
      <c r="N1" s="12" t="inlineStr">
        <is>
          <t>janela_entrada</t>
        </is>
      </c>
      <c r="O1" s="12" t="inlineStr">
        <is>
          <t>janela_saida</t>
        </is>
      </c>
      <c r="P1" s="12" t="inlineStr">
        <is>
          <t>hora_chegada</t>
        </is>
      </c>
      <c r="Q1" s="12" t="inlineStr">
        <is>
          <t>hora_saida_local</t>
        </is>
      </c>
      <c r="R1" s="12" t="inlineStr">
        <is>
          <t>dist_anterior_km</t>
        </is>
      </c>
      <c r="S1" s="12" t="inlineStr">
        <is>
          <t>alertas</t>
        </is>
      </c>
    </row>
    <row r="2" ht="30" customHeight="1" s="11">
      <c r="A2" s="13" t="n"/>
      <c r="B2" s="13" t="inlineStr">
        <is>
          <t>2026-05-07</t>
        </is>
      </c>
      <c r="C2" s="13" t="inlineStr">
        <is>
          <t>Jeovane</t>
        </is>
      </c>
      <c r="D2" s="13" t="n">
        <v>2</v>
      </c>
      <c r="E2" s="13" t="inlineStr">
        <is>
          <t>MRE Mapp Odontologia Indaiatuba</t>
        </is>
      </c>
      <c r="F2" s="13" t="inlineStr">
        <is>
          <t>13330-070</t>
        </is>
      </c>
      <c r="G2" s="13" t="inlineStr">
        <is>
          <t>R. Quinze de Novembro, 1131</t>
        </is>
      </c>
      <c r="H2" s="13" t="inlineStr">
        <is>
          <t>Itens</t>
        </is>
      </c>
      <c r="I2" s="13" t="n"/>
      <c r="J2" s="13" t="inlineStr">
        <is>
          <t>Levar 3 cafés</t>
        </is>
      </c>
      <c r="K2" s="13" t="n"/>
      <c r="L2" s="13" t="inlineStr">
        <is>
          <t>Não</t>
        </is>
      </c>
      <c r="M2" s="13" t="inlineStr">
        <is>
          <t>09:00</t>
        </is>
      </c>
      <c r="N2" s="13" t="inlineStr">
        <is>
          <t>19:00</t>
        </is>
      </c>
      <c r="O2" s="13" t="inlineStr">
        <is>
          <t>09:06</t>
        </is>
      </c>
      <c r="P2" s="13" t="inlineStr">
        <is>
          <t>09:51</t>
        </is>
      </c>
      <c r="Q2" s="13" t="n">
        <v>6.42</v>
      </c>
      <c r="R2" s="13" t="n"/>
    </row>
    <row r="3" ht="30" customHeight="1" s="11">
      <c r="A3" s="16" t="inlineStr">
        <is>
          <t>5</t>
        </is>
      </c>
      <c r="B3" s="16" t="inlineStr">
        <is>
          <t>2026-05-07</t>
        </is>
      </c>
      <c r="C3" s="16" t="inlineStr">
        <is>
          <t>Leandro</t>
        </is>
      </c>
      <c r="D3" s="16" t="n">
        <v>1</v>
      </c>
      <c r="E3" s="16" t="inlineStr">
        <is>
          <t>JNC Hortolândia</t>
        </is>
      </c>
      <c r="F3" s="16" t="inlineStr">
        <is>
          <t>13184-889</t>
        </is>
      </c>
      <c r="G3" s="16" t="inlineStr">
        <is>
          <t>Avenida Carlos Roberto Prataviera, 45</t>
        </is>
      </c>
      <c r="H3" s="16" t="inlineStr">
        <is>
          <t>Entrega</t>
        </is>
      </c>
      <c r="I3" s="16" t="inlineStr"/>
      <c r="J3" s="16" t="inlineStr">
        <is>
          <t>Levar 3 cafés</t>
        </is>
      </c>
      <c r="K3" s="16" t="inlineStr"/>
      <c r="L3" s="16" t="inlineStr">
        <is>
          <t>Não</t>
        </is>
      </c>
      <c r="M3" s="16" t="inlineStr">
        <is>
          <t>07:00</t>
        </is>
      </c>
      <c r="N3" s="16" t="inlineStr">
        <is>
          <t>16:34</t>
        </is>
      </c>
      <c r="O3" s="16" t="inlineStr">
        <is>
          <t>08:00</t>
        </is>
      </c>
      <c r="P3" s="16" t="inlineStr">
        <is>
          <t>15:40</t>
        </is>
      </c>
      <c r="Q3" s="16" t="n">
        <v>0</v>
      </c>
      <c r="R3" s="16" t="inlineStr">
        <is>
          <t>CEP não encontrado</t>
        </is>
      </c>
    </row>
    <row r="4" ht="30" customHeight="1" s="11">
      <c r="A4" s="17" t="inlineStr">
        <is>
          <t>2</t>
        </is>
      </c>
      <c r="B4" s="17" t="inlineStr">
        <is>
          <t>2026-05-07</t>
        </is>
      </c>
      <c r="C4" s="17" t="inlineStr">
        <is>
          <t>Leandro</t>
        </is>
      </c>
      <c r="D4" s="17" t="n">
        <v>3</v>
      </c>
      <c r="E4" s="17" t="inlineStr">
        <is>
          <t>Keepers II Clube Indaiatuba</t>
        </is>
      </c>
      <c r="F4" s="17" t="inlineStr">
        <is>
          <t>13331-742</t>
        </is>
      </c>
      <c r="G4" s="17" t="inlineStr">
        <is>
          <t>Av. Fábio Ferraz Bicudo,, 1197</t>
        </is>
      </c>
      <c r="H4" s="17" t="inlineStr">
        <is>
          <t>Manutenção</t>
        </is>
      </c>
      <c r="I4" s="17" t="inlineStr"/>
      <c r="J4" s="17" t="inlineStr">
        <is>
          <t>Arrumar maquina</t>
        </is>
      </c>
      <c r="K4" s="17" t="inlineStr"/>
      <c r="L4" s="17" t="inlineStr">
        <is>
          <t>Não</t>
        </is>
      </c>
      <c r="M4" s="17" t="inlineStr">
        <is>
          <t>14:00</t>
        </is>
      </c>
      <c r="N4" s="17" t="inlineStr">
        <is>
          <t>19:00</t>
        </is>
      </c>
      <c r="O4" s="17" t="inlineStr">
        <is>
          <t>16:53</t>
        </is>
      </c>
      <c r="P4" s="17" t="inlineStr">
        <is>
          <t>17:53</t>
        </is>
      </c>
      <c r="Q4" s="17" t="n">
        <v>5.04</v>
      </c>
      <c r="R4" s="17" t="inlineStr"/>
    </row>
    <row r="5" ht="30" customHeight="1" s="11">
      <c r="A5" s="16" t="inlineStr">
        <is>
          <t>3</t>
        </is>
      </c>
      <c r="B5" s="16" t="inlineStr">
        <is>
          <t>2026-05-07</t>
        </is>
      </c>
      <c r="C5" s="16" t="inlineStr">
        <is>
          <t>Leandro</t>
        </is>
      </c>
      <c r="D5" s="16" t="n">
        <v>4</v>
      </c>
      <c r="E5" s="16" t="inlineStr">
        <is>
          <t>MRE Mapp Odontologia Indaiatuba</t>
        </is>
      </c>
      <c r="F5" s="16" t="inlineStr">
        <is>
          <t>13330-070</t>
        </is>
      </c>
      <c r="G5" s="16" t="inlineStr">
        <is>
          <t>R. Quinze de Novembro, 1131</t>
        </is>
      </c>
      <c r="H5" s="16" t="inlineStr">
        <is>
          <t>Entrega</t>
        </is>
      </c>
      <c r="I5" s="16" t="inlineStr"/>
      <c r="J5" s="16" t="inlineStr">
        <is>
          <t>Levar 3 cafés</t>
        </is>
      </c>
      <c r="K5" s="16" t="inlineStr"/>
      <c r="L5" s="16" t="inlineStr">
        <is>
          <t>Não</t>
        </is>
      </c>
      <c r="M5" s="16" t="inlineStr">
        <is>
          <t>09:00</t>
        </is>
      </c>
      <c r="N5" s="16" t="inlineStr">
        <is>
          <t>19:00</t>
        </is>
      </c>
      <c r="O5" s="16" t="inlineStr">
        <is>
          <t>18:07</t>
        </is>
      </c>
      <c r="P5" s="16" t="inlineStr">
        <is>
          <t>18:52</t>
        </is>
      </c>
      <c r="Q5" s="16" t="n">
        <v>2.05</v>
      </c>
      <c r="R5" s="16" t="inlineStr">
        <is>
          <t>Estoura jornada (18:00)</t>
        </is>
      </c>
    </row>
    <row r="6" ht="30" customHeight="1" s="11">
      <c r="A6" s="16" t="inlineStr">
        <is>
          <t>4</t>
        </is>
      </c>
      <c r="B6" s="16" t="inlineStr">
        <is>
          <t>2026-05-07</t>
        </is>
      </c>
      <c r="C6" s="16" t="inlineStr">
        <is>
          <t>Leandro</t>
        </is>
      </c>
      <c r="D6" s="16" t="n">
        <v>5</v>
      </c>
      <c r="E6" s="16" t="inlineStr">
        <is>
          <t>Ecosssitema MKT Rio Claro</t>
        </is>
      </c>
      <c r="F6" s="16" t="inlineStr">
        <is>
          <t>13501-080</t>
        </is>
      </c>
      <c r="G6" s="16" t="inlineStr">
        <is>
          <t>Rua 7 Cj, 177</t>
        </is>
      </c>
      <c r="H6" s="16" t="inlineStr">
        <is>
          <t>Entrega</t>
        </is>
      </c>
      <c r="I6" s="16" t="inlineStr"/>
      <c r="J6" s="16" t="inlineStr">
        <is>
          <t>Levar 3 cafés</t>
        </is>
      </c>
      <c r="K6" s="16" t="inlineStr"/>
      <c r="L6" s="16" t="inlineStr">
        <is>
          <t>Não</t>
        </is>
      </c>
      <c r="M6" s="16" t="inlineStr">
        <is>
          <t>07:30</t>
        </is>
      </c>
      <c r="N6" s="16" t="inlineStr">
        <is>
          <t>18:00</t>
        </is>
      </c>
      <c r="O6" s="16" t="inlineStr">
        <is>
          <t>21:20</t>
        </is>
      </c>
      <c r="P6" s="16" t="inlineStr">
        <is>
          <t>23:20</t>
        </is>
      </c>
      <c r="Q6" s="16" t="n">
        <v>80.75</v>
      </c>
      <c r="R6" s="16" t="inlineStr">
        <is>
          <t>Fora da janela (fecha 18:00) | Estoura jornada (18:00)</t>
        </is>
      </c>
    </row>
    <row r="7" ht="30" customHeight="1" s="11">
      <c r="A7" s="17" t="inlineStr">
        <is>
          <t>1</t>
        </is>
      </c>
      <c r="B7" s="17" t="inlineStr">
        <is>
          <t>2026-05-07</t>
        </is>
      </c>
      <c r="C7" s="17" t="inlineStr">
        <is>
          <t>Leandro</t>
        </is>
      </c>
      <c r="D7" s="17" t="n">
        <v>1</v>
      </c>
      <c r="E7" s="17" t="inlineStr">
        <is>
          <t>Nippon Chemical</t>
        </is>
      </c>
      <c r="F7" s="17" t="inlineStr">
        <is>
          <t>13347-404</t>
        </is>
      </c>
      <c r="G7" s="17" t="inlineStr">
        <is>
          <t>R. Antonio Martins Luiz, 822</t>
        </is>
      </c>
      <c r="H7" s="17" t="inlineStr">
        <is>
          <t>Entrega</t>
        </is>
      </c>
      <c r="I7" s="17" t="inlineStr"/>
      <c r="J7" s="17" t="inlineStr">
        <is>
          <t>Levar 3 cafés</t>
        </is>
      </c>
      <c r="K7" s="17" t="inlineStr"/>
      <c r="L7" s="17" t="inlineStr">
        <is>
          <t>Não</t>
        </is>
      </c>
      <c r="M7" s="17" t="inlineStr">
        <is>
          <t>07:00</t>
        </is>
      </c>
      <c r="N7" s="17" t="inlineStr">
        <is>
          <t>17:00</t>
        </is>
      </c>
      <c r="O7" s="17" t="inlineStr">
        <is>
          <t>08:00</t>
        </is>
      </c>
      <c r="P7" s="17" t="inlineStr">
        <is>
          <t>08:45</t>
        </is>
      </c>
      <c r="Q7" s="17" t="n">
        <v>0.11</v>
      </c>
      <c r="R7" s="17" t="inlineStr"/>
    </row>
    <row r="8" ht="30" customHeight="1" s="1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data_geracao</t>
        </is>
      </c>
      <c r="B1" s="18" t="inlineStr">
        <is>
          <t>data_itinerario</t>
        </is>
      </c>
      <c r="C1" s="18" t="inlineStr">
        <is>
          <t>funcionario</t>
        </is>
      </c>
      <c r="D1" s="18" t="inlineStr">
        <is>
          <t>qtd_paradas</t>
        </is>
      </c>
      <c r="E1" s="18" t="inlineStr">
        <is>
          <t>km_total</t>
        </is>
      </c>
      <c r="F1" s="18" t="inlineStr">
        <is>
          <t>saida_prevista</t>
        </is>
      </c>
    </row>
    <row r="2">
      <c r="A2" t="inlineStr">
        <is>
          <t>2026-05-28 16:43</t>
        </is>
      </c>
      <c r="B2" t="inlineStr">
        <is>
          <t>2026-05-07</t>
        </is>
      </c>
      <c r="C2" t="inlineStr">
        <is>
          <t>Leandro</t>
        </is>
      </c>
      <c r="D2" t="n">
        <v>1</v>
      </c>
      <c r="E2" t="n">
        <v>0.1</v>
      </c>
      <c r="F2" t="inlineStr">
        <is>
          <t>08:45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Gustavo Dantas</dc:creator>
  <dcterms:created xsi:type="dcterms:W3CDTF">2026-05-06T00:40:59Z</dcterms:created>
  <dcterms:modified xsi:type="dcterms:W3CDTF">2026-05-31T02:35:36Z</dcterms:modified>
  <cp:lastModifiedBy>Gustavo Dantas</cp:lastModifiedBy>
</cp:coreProperties>
</file>